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GitHub\mainport_dashboard_st\data\"/>
    </mc:Choice>
  </mc:AlternateContent>
  <xr:revisionPtr revIDLastSave="0" documentId="13_ncr:1_{23BAC007-0A67-4C9F-B6C7-9EA2C920998E}" xr6:coauthVersionLast="47" xr6:coauthVersionMax="47" xr10:uidLastSave="{00000000-0000-0000-0000-000000000000}"/>
  <bookViews>
    <workbookView xWindow="-108" yWindow="-108" windowWidth="23256" windowHeight="12576" xr2:uid="{1E0323E6-16F2-41E6-93C1-F4D3F2624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2" i="1"/>
  <c r="C4" i="1"/>
  <c r="C3" i="1"/>
  <c r="C2" i="1"/>
</calcChain>
</file>

<file path=xl/sharedStrings.xml><?xml version="1.0" encoding="utf-8"?>
<sst xmlns="http://schemas.openxmlformats.org/spreadsheetml/2006/main" count="13" uniqueCount="13">
  <si>
    <t>type</t>
  </si>
  <si>
    <t>long haul pax</t>
  </si>
  <si>
    <t>medium haul pax</t>
  </si>
  <si>
    <t>short haul pax</t>
  </si>
  <si>
    <t>cargo_volume</t>
  </si>
  <si>
    <t>long haul cargo</t>
  </si>
  <si>
    <t>medium haul cargo</t>
  </si>
  <si>
    <t>short haul cargo</t>
  </si>
  <si>
    <t>frac_tourist</t>
  </si>
  <si>
    <t>frac_business</t>
  </si>
  <si>
    <t>frac_transit</t>
  </si>
  <si>
    <t>num_passengers</t>
  </si>
  <si>
    <t>base_slot_frac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</si>
</sst>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1431-87E4-4BC6-8EED-BB2E69E2DDB4}">
  <dimension ref="A1:G7"/>
  <sheetViews>
    <sheetView tabSelected="1" workbookViewId="0">
      <selection activeCell="G8" sqref="G8"/>
    </sheetView>
  </sheetViews>
  <sheetFormatPr defaultRowHeight="14.4" x14ac:dyDescent="0.3"/>
  <cols>
    <col min="1" max="1" width="16.33203125" bestFit="1" customWidth="1"/>
    <col min="2" max="3" width="16.33203125" customWidth="1"/>
    <col min="4" max="4" width="14.6640625" bestFit="1" customWidth="1"/>
    <col min="5" max="5" width="12.44140625" bestFit="1" customWidth="1"/>
    <col min="6" max="6" width="10.44140625" bestFit="1" customWidth="1"/>
    <col min="7" max="7" width="12.109375" bestFit="1" customWidth="1"/>
  </cols>
  <sheetData>
    <row r="1" spans="1:7" x14ac:dyDescent="0.3">
      <c r="A1" t="s">
        <v>0</v>
      </c>
      <c r="B1" t="s">
        <v>12</v>
      </c>
      <c r="C1" t="s">
        <v>11</v>
      </c>
      <c r="D1" t="s">
        <v>8</v>
      </c>
      <c r="E1" t="s">
        <v>9</v>
      </c>
      <c r="F1" t="s">
        <v>10</v>
      </c>
      <c r="G1" t="s">
        <v>4</v>
      </c>
    </row>
    <row r="2" spans="1:7" x14ac:dyDescent="0.3">
      <c r="A2" t="s">
        <v>1</v>
      </c>
      <c r="B2">
        <v>0.25</v>
      </c>
      <c r="C2">
        <f>270*0.8</f>
        <v>216</v>
      </c>
      <c r="D2">
        <v>0.4</v>
      </c>
      <c r="E2">
        <v>0.35</v>
      </c>
      <c r="F2">
        <v>0.25</v>
      </c>
      <c r="G2">
        <f>15/3.44</f>
        <v>4.3604651162790695</v>
      </c>
    </row>
    <row r="3" spans="1:7" x14ac:dyDescent="0.3">
      <c r="A3" t="s">
        <v>2</v>
      </c>
      <c r="B3">
        <v>0.35</v>
      </c>
      <c r="C3">
        <f>180*0.8</f>
        <v>144</v>
      </c>
      <c r="D3">
        <v>0.6</v>
      </c>
      <c r="E3">
        <v>0.25</v>
      </c>
      <c r="F3">
        <v>0.15</v>
      </c>
      <c r="G3">
        <f>2/3.44</f>
        <v>0.58139534883720934</v>
      </c>
    </row>
    <row r="4" spans="1:7" x14ac:dyDescent="0.3">
      <c r="A4" t="s">
        <v>3</v>
      </c>
      <c r="B4">
        <v>0.4</v>
      </c>
      <c r="C4">
        <f>140*0.8</f>
        <v>112</v>
      </c>
      <c r="D4">
        <v>0.65</v>
      </c>
      <c r="E4">
        <v>0.2</v>
      </c>
      <c r="F4">
        <v>0.15</v>
      </c>
      <c r="G4">
        <f>1/3.44</f>
        <v>0.29069767441860467</v>
      </c>
    </row>
    <row r="5" spans="1:7" x14ac:dyDescent="0.3">
      <c r="A5" t="s">
        <v>5</v>
      </c>
      <c r="B5">
        <v>0.25</v>
      </c>
      <c r="C5">
        <v>0</v>
      </c>
      <c r="D5">
        <v>0.4</v>
      </c>
      <c r="E5">
        <v>0.35</v>
      </c>
      <c r="F5">
        <v>0.25</v>
      </c>
      <c r="G5">
        <f>100/1.5</f>
        <v>66.666666666666671</v>
      </c>
    </row>
    <row r="6" spans="1:7" x14ac:dyDescent="0.3">
      <c r="A6" t="s">
        <v>6</v>
      </c>
      <c r="B6">
        <v>0.35</v>
      </c>
      <c r="C6">
        <v>0</v>
      </c>
      <c r="D6">
        <v>0.6</v>
      </c>
      <c r="E6">
        <v>0.25</v>
      </c>
      <c r="F6">
        <v>0.15</v>
      </c>
      <c r="G6">
        <f>55/1.5</f>
        <v>36.666666666666664</v>
      </c>
    </row>
    <row r="7" spans="1:7" x14ac:dyDescent="0.3">
      <c r="A7" t="s">
        <v>7</v>
      </c>
      <c r="B7">
        <v>0.4</v>
      </c>
      <c r="C7">
        <v>0</v>
      </c>
      <c r="D7">
        <v>0.65</v>
      </c>
      <c r="E7">
        <v>0.2</v>
      </c>
      <c r="F7">
        <v>0.15</v>
      </c>
      <c r="G7">
        <f>22/1.5</f>
        <v>14.666666666666666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Bons</dc:creator>
  <cp:lastModifiedBy>Pieter Bons</cp:lastModifiedBy>
  <dcterms:created xsi:type="dcterms:W3CDTF">2025-12-10T08:13:51Z</dcterms:created>
  <dcterms:modified xsi:type="dcterms:W3CDTF">2025-12-17T12:51:09Z</dcterms:modified>
</cp:coreProperties>
</file>